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metadata" sheetId="1" r:id="rId4"/>
    <sheet state="visible" name="Sheet3" sheetId="2" r:id="rId5"/>
    <sheet state="visible" name="Info" sheetId="3" r:id="rId6"/>
  </sheets>
  <definedNames/>
  <calcPr/>
</workbook>
</file>

<file path=xl/sharedStrings.xml><?xml version="1.0" encoding="utf-8"?>
<sst xmlns="http://schemas.openxmlformats.org/spreadsheetml/2006/main" count="541" uniqueCount="143">
  <si>
    <t>Name</t>
  </si>
  <si>
    <t>Date</t>
  </si>
  <si>
    <t>County</t>
  </si>
  <si>
    <t>Reef-site</t>
  </si>
  <si>
    <t>Transect-number</t>
  </si>
  <si>
    <t>Transect-meter</t>
  </si>
  <si>
    <t>other</t>
  </si>
  <si>
    <t>Height (cm)</t>
  </si>
  <si>
    <t>Latitude</t>
  </si>
  <si>
    <t>Longitude</t>
  </si>
  <si>
    <t>Depth</t>
  </si>
  <si>
    <t>Camera</t>
  </si>
  <si>
    <t>Photographer</t>
  </si>
  <si>
    <t>ACSP</t>
  </si>
  <si>
    <t>PVER</t>
  </si>
  <si>
    <t>DHEL</t>
  </si>
  <si>
    <t>PLOB</t>
  </si>
  <si>
    <t>Branching</t>
  </si>
  <si>
    <t>Massives</t>
  </si>
  <si>
    <t>20241213_MV_MaHRE_Deep_T2_00m_PC135512.jpg</t>
  </si>
  <si>
    <t>MV</t>
  </si>
  <si>
    <t>Coral-Garden</t>
  </si>
  <si>
    <t>T2</t>
  </si>
  <si>
    <t>0m</t>
  </si>
  <si>
    <t>Blank</t>
  </si>
  <si>
    <t>Blue</t>
  </si>
  <si>
    <t>OggioL</t>
  </si>
  <si>
    <t>20241213_MV_MaHRE_Deep_T2_05m_PC135506.jpg</t>
  </si>
  <si>
    <t>5m</t>
  </si>
  <si>
    <t>20241213_MV_MaHRE_Deep_T2_10m_PC135501.jpg</t>
  </si>
  <si>
    <t>10m</t>
  </si>
  <si>
    <t>20241213_MV_MaHRE_Deep_T2_15m_PC135494.jpg</t>
  </si>
  <si>
    <t>15m</t>
  </si>
  <si>
    <t>20241213_MV_MaHRE_Deep_T2_20m_PC135490.jpg</t>
  </si>
  <si>
    <t>20m</t>
  </si>
  <si>
    <t>20241213_MV_MaHRE_Deep_T2_25m_PC135484.jpg</t>
  </si>
  <si>
    <t>25m</t>
  </si>
  <si>
    <t>20241213_MV_MaHRE_Deep_T2_30m_PC135477.jpg</t>
  </si>
  <si>
    <t>30m</t>
  </si>
  <si>
    <t>20241213_MV_MaHRE_Deep_T2_35m_PC135469.jpg</t>
  </si>
  <si>
    <t>35m</t>
  </si>
  <si>
    <t>20241213_MV_MaHRE_Deep_T2_40m_PC135455.jpg</t>
  </si>
  <si>
    <t>40m</t>
  </si>
  <si>
    <t>20241213_MV_MaHRE_Deep_T2_45m_PC135449.jpg</t>
  </si>
  <si>
    <t>45m</t>
  </si>
  <si>
    <t>20241213_MV_MaHRE_Deep_T2_50m_PC135441.jpg</t>
  </si>
  <si>
    <t>50m</t>
  </si>
  <si>
    <t>20241213_MV_MarHE_shallow_t2_00m_PC130233.JPG</t>
  </si>
  <si>
    <t>Olympus TOUGH TG6</t>
  </si>
  <si>
    <t>verdianavellani</t>
  </si>
  <si>
    <t>20241213_MV_MarHE_shallow_t2_05m_PC130228.JPG</t>
  </si>
  <si>
    <t>20241213_MV_MarHE_shallow_t2_10m_PC130226.JPG</t>
  </si>
  <si>
    <t>20241213_MV_MarHE_shallow_t2_15m_PC130222.JPG</t>
  </si>
  <si>
    <t>20241213_MV_MarHE_shallow_t2_20m_PC130217.JPG</t>
  </si>
  <si>
    <t>20241213_MV_MarHE_shallow_t2_25m_PC130212.JPG</t>
  </si>
  <si>
    <t>20241213_MV_MarHE_shallow_t2_30m_PC130208.JPG</t>
  </si>
  <si>
    <t>20241213_MV_MarHE_shallow_t2_35m_PC130205.JPG</t>
  </si>
  <si>
    <t>20241213_MV_MarHE_shallow_t2_40m_PC130202.JPG</t>
  </si>
  <si>
    <t>20241213_MV_MarHE_shallow_t2_45m_PC130198.JPG</t>
  </si>
  <si>
    <t>20241213_MV_MarHE_shallow_t2_50m_PC130195.JPG</t>
  </si>
  <si>
    <t>20241213_MV_MarHE_shallow_tr1_00m_PC130144.jpg</t>
  </si>
  <si>
    <t>T1</t>
  </si>
  <si>
    <t>foosa</t>
  </si>
  <si>
    <t>20241213_MV_MarHE_shallow_tr1_05m_PC130142.jpg</t>
  </si>
  <si>
    <t>20241213_MV_MarHE_shallow_tr1_10m_PC130138.jpg</t>
  </si>
  <si>
    <t>20241213_MV_MarHE_shallow_tr1_15m_PC130136.jpg</t>
  </si>
  <si>
    <t>20241213_MV_MarHE_shallow_tr1_20m_PC130132.jpg</t>
  </si>
  <si>
    <t>20241213_MV_MarHE_shallow_tr1_25m_PC130129.jpg</t>
  </si>
  <si>
    <t>20241213_MV_MarHE_shallow_tr1_30m_PC130128.jpg</t>
  </si>
  <si>
    <t>20241213_MV_MarHE_shallow_tr1_35m_PC130123.jpg</t>
  </si>
  <si>
    <t>20241213_MV_MarHE_shallow_tr1_40m_PC130121.jpg</t>
  </si>
  <si>
    <t>20241213_MV_MarHE_shallow_tr1_45m.PC130117.jpg</t>
  </si>
  <si>
    <t>20241213_MV_MarHE_shallow_tr1_50m_PC130114.jpg</t>
  </si>
  <si>
    <t>20241213_MV_coral-garden_deep_T1_0m_PC130496.JPG</t>
  </si>
  <si>
    <t>Ruiyuan_Liu</t>
  </si>
  <si>
    <t>20241213_MV_coral-garden_deep_T1_5m_PC130479.JPG</t>
  </si>
  <si>
    <t>20241213_MV_coral-garden_deep_T1_10m_PC130466.JPG</t>
  </si>
  <si>
    <t>20241213_MV_coral-garden_deep_T1_15m_PC130444.JPG</t>
  </si>
  <si>
    <t>20241213_MV_coral-garden_deep_T1_20m_PC130433.JPG</t>
  </si>
  <si>
    <t>20241213_MV_coral-garden_deep_T1_25m_PC130405.JPG</t>
  </si>
  <si>
    <t>20241213_MV_coral-garden_deep_T1_30m_PC130398.JPG</t>
  </si>
  <si>
    <t>20241213_MV_coral-garden_deep_T1_35m_PC130384.JPG</t>
  </si>
  <si>
    <t>20241213_MV_coral-garden_deep_T1_40m_PC130370.JPG</t>
  </si>
  <si>
    <t>20241213_MV_coral-garden_deep_T1_45m_PC130362.JPG</t>
  </si>
  <si>
    <t>20241213_MV_coral-garden_deep_T1_50m_PC130361.JPG</t>
  </si>
  <si>
    <t>Water quality</t>
  </si>
  <si>
    <t>Strobes</t>
  </si>
  <si>
    <t>Framing gear used</t>
  </si>
  <si>
    <t>White balance card</t>
  </si>
  <si>
    <t>Comments</t>
  </si>
  <si>
    <t>20241213_MV_MarHE_shallow_t2_00m</t>
  </si>
  <si>
    <t>no</t>
  </si>
  <si>
    <t>20241213_MV_MarHE_shallow_t2_05m</t>
  </si>
  <si>
    <t>3..6</t>
  </si>
  <si>
    <t>20241213_MV_MarHE_shallow_t2_10m</t>
  </si>
  <si>
    <t>20241213_MV_MarHE_shallow_t2_15m</t>
  </si>
  <si>
    <t>20241213_MV_MarHE_shallow_t2_20mJPG</t>
  </si>
  <si>
    <t>20241213_MV_MarHE_shallow_t2_25m</t>
  </si>
  <si>
    <t>20241213_MV_MarHE_shallow_t2_30m</t>
  </si>
  <si>
    <t>20241213_MV_MarHE_shallow_t2_35m</t>
  </si>
  <si>
    <t>20241213_MV_MarHE_shallow_t2_40m</t>
  </si>
  <si>
    <t>20241213_MV_MarHE_shallow_t2_45m</t>
  </si>
  <si>
    <t>20241213_MV_MarHE_shallow_t2_50m</t>
  </si>
  <si>
    <t>Username</t>
  </si>
  <si>
    <t>status</t>
  </si>
  <si>
    <t>Verdiana Vellani</t>
  </si>
  <si>
    <t>added</t>
  </si>
  <si>
    <t>Name scheme for photos:</t>
  </si>
  <si>
    <t>e.g., 20241213_MV_coral-garden_deep_T1_05m_</t>
  </si>
  <si>
    <t>Lucia Gastoldi</t>
  </si>
  <si>
    <t>l.gastoldi</t>
  </si>
  <si>
    <t>Date of the transect (YYYYMMDD)</t>
  </si>
  <si>
    <t>Nora von Xylander</t>
  </si>
  <si>
    <t>noravx</t>
  </si>
  <si>
    <t>Location of the transect (country and region)</t>
  </si>
  <si>
    <t>Katelyn Gould</t>
  </si>
  <si>
    <t>gould054</t>
  </si>
  <si>
    <t>Depth (deep/shallow)</t>
  </si>
  <si>
    <t>Jill Ashey</t>
  </si>
  <si>
    <t>jillashey</t>
  </si>
  <si>
    <t>Invited</t>
  </si>
  <si>
    <t>Transect number</t>
  </si>
  <si>
    <t>Kira Turnham</t>
  </si>
  <si>
    <t>turnham</t>
  </si>
  <si>
    <t>Location of the image along the transect (0m, 5m, etc.)</t>
  </si>
  <si>
    <t>Shannon Murphy</t>
  </si>
  <si>
    <t>smurphy3</t>
  </si>
  <si>
    <t>Orginal photo name (important to be able to go back to orignals backups)</t>
  </si>
  <si>
    <t>Corin Schofield</t>
  </si>
  <si>
    <t>cschof</t>
  </si>
  <si>
    <t>Shawna Foo</t>
  </si>
  <si>
    <t>Elisa Zogno</t>
  </si>
  <si>
    <t>ZognoE</t>
  </si>
  <si>
    <t>Luca Oggioni</t>
  </si>
  <si>
    <t>Yuxin Liu</t>
  </si>
  <si>
    <t>Federico Sartorio</t>
  </si>
  <si>
    <t>fedesarto</t>
  </si>
  <si>
    <t>Brittany Huntington</t>
  </si>
  <si>
    <t>bhunting</t>
  </si>
  <si>
    <t>Georgina Matthews</t>
  </si>
  <si>
    <t>MatthewsG</t>
  </si>
  <si>
    <t>Nina Roeder</t>
  </si>
  <si>
    <t>niro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</si>
</sst>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404040"/>
      <name val="&quot;Droid Sans&quot;"/>
    </font>
    <font>
      <color theme="1"/>
      <name val="Arial"/>
      <scheme val="minor"/>
    </font>
    <font>
      <sz val="9.0"/>
      <color rgb="FF1F1F1F"/>
      <name val="&quot;Google Sans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5F2F0"/>
        <bgColor rgb="FFF5F2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4" max="4" width="11.13"/>
    <col customWidth="1" min="5" max="5" width="15.13"/>
    <col customWidth="1" min="6" max="6" width="13.5"/>
    <col customWidth="1" hidden="1" min="7" max="7" width="5.5"/>
    <col hidden="1" min="8" max="10" width="12.63"/>
    <col customWidth="1" hidden="1" min="11" max="11" width="18.75"/>
    <col customWidth="1" hidden="1" min="12" max="12" width="17.75"/>
    <col hidden="1" min="13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3">
        <v>45639.0</v>
      </c>
      <c r="C2" s="2" t="s">
        <v>20</v>
      </c>
      <c r="D2" s="2" t="s">
        <v>21</v>
      </c>
      <c r="E2" s="2" t="s">
        <v>22</v>
      </c>
      <c r="F2" s="2" t="s">
        <v>23</v>
      </c>
      <c r="H2" s="2" t="s">
        <v>24</v>
      </c>
      <c r="I2" s="2">
        <v>3.090083</v>
      </c>
      <c r="J2" s="2">
        <v>72.967917</v>
      </c>
      <c r="K2" s="2">
        <v>10.2</v>
      </c>
      <c r="L2" s="2" t="s">
        <v>25</v>
      </c>
      <c r="M2" s="2" t="s">
        <v>26</v>
      </c>
      <c r="N2" s="2">
        <v>1.0</v>
      </c>
      <c r="O2" s="2">
        <v>1.0</v>
      </c>
      <c r="P2" s="2">
        <v>0.0</v>
      </c>
      <c r="Q2" s="2">
        <v>0.0</v>
      </c>
      <c r="R2" s="4">
        <f t="shared" ref="R2:R45" si="1">sum(N2:O2)</f>
        <v>2</v>
      </c>
      <c r="S2" s="4">
        <f t="shared" ref="S2:S45" si="2">sum(Q2:R2)</f>
        <v>2</v>
      </c>
    </row>
    <row r="3">
      <c r="A3" s="5" t="s">
        <v>27</v>
      </c>
      <c r="B3" s="3">
        <v>45639.0</v>
      </c>
      <c r="C3" s="2" t="s">
        <v>20</v>
      </c>
      <c r="D3" s="2" t="s">
        <v>21</v>
      </c>
      <c r="E3" s="2" t="s">
        <v>22</v>
      </c>
      <c r="F3" s="2" t="s">
        <v>28</v>
      </c>
      <c r="H3" s="2" t="s">
        <v>24</v>
      </c>
      <c r="I3" s="2">
        <v>3.090083</v>
      </c>
      <c r="J3" s="2">
        <v>72.967917</v>
      </c>
      <c r="K3" s="2">
        <v>10.5</v>
      </c>
      <c r="L3" s="2" t="s">
        <v>25</v>
      </c>
      <c r="M3" s="2" t="s">
        <v>26</v>
      </c>
      <c r="N3" s="2">
        <v>1.0</v>
      </c>
      <c r="O3" s="2">
        <v>0.0</v>
      </c>
      <c r="P3" s="2">
        <v>0.0</v>
      </c>
      <c r="Q3" s="2">
        <v>0.0</v>
      </c>
      <c r="R3" s="4">
        <f t="shared" si="1"/>
        <v>1</v>
      </c>
      <c r="S3" s="4">
        <f t="shared" si="2"/>
        <v>1</v>
      </c>
    </row>
    <row r="4">
      <c r="A4" s="6" t="s">
        <v>29</v>
      </c>
      <c r="B4" s="3">
        <v>45639.0</v>
      </c>
      <c r="C4" s="2" t="s">
        <v>20</v>
      </c>
      <c r="D4" s="2" t="s">
        <v>21</v>
      </c>
      <c r="E4" s="2" t="s">
        <v>22</v>
      </c>
      <c r="F4" s="2" t="s">
        <v>30</v>
      </c>
      <c r="H4" s="2" t="s">
        <v>24</v>
      </c>
      <c r="I4" s="2">
        <v>3.090083</v>
      </c>
      <c r="J4" s="2">
        <v>72.967917</v>
      </c>
      <c r="K4" s="2">
        <v>10.6</v>
      </c>
      <c r="L4" s="2" t="s">
        <v>25</v>
      </c>
      <c r="M4" s="2" t="s">
        <v>26</v>
      </c>
      <c r="N4" s="2">
        <v>0.0</v>
      </c>
      <c r="O4" s="2">
        <v>1.0</v>
      </c>
      <c r="P4" s="2">
        <v>0.0</v>
      </c>
      <c r="Q4" s="2">
        <v>0.0</v>
      </c>
      <c r="R4" s="4">
        <f t="shared" si="1"/>
        <v>1</v>
      </c>
      <c r="S4" s="4">
        <f t="shared" si="2"/>
        <v>1</v>
      </c>
    </row>
    <row r="5">
      <c r="A5" s="2" t="s">
        <v>31</v>
      </c>
      <c r="B5" s="3">
        <v>45639.0</v>
      </c>
      <c r="C5" s="2" t="s">
        <v>20</v>
      </c>
      <c r="D5" s="2" t="s">
        <v>21</v>
      </c>
      <c r="E5" s="2" t="s">
        <v>22</v>
      </c>
      <c r="F5" s="2" t="s">
        <v>32</v>
      </c>
      <c r="H5" s="2" t="s">
        <v>24</v>
      </c>
      <c r="I5" s="2">
        <v>3.090083</v>
      </c>
      <c r="J5" s="2">
        <v>72.967917</v>
      </c>
      <c r="K5" s="2">
        <v>10.1</v>
      </c>
      <c r="L5" s="2" t="s">
        <v>25</v>
      </c>
      <c r="M5" s="2" t="s">
        <v>26</v>
      </c>
      <c r="N5" s="2">
        <v>1.0</v>
      </c>
      <c r="O5" s="2">
        <v>0.0</v>
      </c>
      <c r="P5" s="2">
        <v>0.0</v>
      </c>
      <c r="Q5" s="2">
        <v>0.0</v>
      </c>
      <c r="R5" s="4">
        <f t="shared" si="1"/>
        <v>1</v>
      </c>
      <c r="S5" s="4">
        <f t="shared" si="2"/>
        <v>1</v>
      </c>
    </row>
    <row r="6">
      <c r="A6" s="2" t="s">
        <v>33</v>
      </c>
      <c r="B6" s="3">
        <v>45639.0</v>
      </c>
      <c r="C6" s="2" t="s">
        <v>20</v>
      </c>
      <c r="D6" s="2" t="s">
        <v>21</v>
      </c>
      <c r="E6" s="2" t="s">
        <v>22</v>
      </c>
      <c r="F6" s="2" t="s">
        <v>34</v>
      </c>
      <c r="H6" s="2" t="s">
        <v>24</v>
      </c>
      <c r="I6" s="2">
        <v>3.090083</v>
      </c>
      <c r="J6" s="2">
        <v>72.967917</v>
      </c>
      <c r="K6" s="2">
        <v>10.4</v>
      </c>
      <c r="L6" s="2" t="s">
        <v>25</v>
      </c>
      <c r="M6" s="2" t="s">
        <v>26</v>
      </c>
      <c r="N6" s="2">
        <v>0.0</v>
      </c>
      <c r="O6" s="2">
        <v>0.0</v>
      </c>
      <c r="P6" s="2">
        <v>0.0</v>
      </c>
      <c r="Q6" s="2">
        <v>0.0</v>
      </c>
      <c r="R6" s="4">
        <f t="shared" si="1"/>
        <v>0</v>
      </c>
      <c r="S6" s="4">
        <f t="shared" si="2"/>
        <v>0</v>
      </c>
    </row>
    <row r="7">
      <c r="A7" s="2" t="s">
        <v>35</v>
      </c>
      <c r="B7" s="3">
        <v>45639.0</v>
      </c>
      <c r="C7" s="2" t="s">
        <v>20</v>
      </c>
      <c r="D7" s="2" t="s">
        <v>21</v>
      </c>
      <c r="E7" s="2" t="s">
        <v>22</v>
      </c>
      <c r="F7" s="2" t="s">
        <v>36</v>
      </c>
      <c r="H7" s="2" t="s">
        <v>24</v>
      </c>
      <c r="I7" s="2">
        <v>3.090083</v>
      </c>
      <c r="J7" s="2">
        <v>72.967917</v>
      </c>
      <c r="K7" s="2">
        <v>10.3</v>
      </c>
      <c r="L7" s="2" t="s">
        <v>25</v>
      </c>
      <c r="M7" s="2" t="s">
        <v>26</v>
      </c>
      <c r="N7" s="2">
        <v>0.0</v>
      </c>
      <c r="O7" s="2">
        <v>0.0</v>
      </c>
      <c r="P7" s="2">
        <v>0.0</v>
      </c>
      <c r="Q7" s="2">
        <v>0.0</v>
      </c>
      <c r="R7" s="4">
        <f t="shared" si="1"/>
        <v>0</v>
      </c>
      <c r="S7" s="4">
        <f t="shared" si="2"/>
        <v>0</v>
      </c>
    </row>
    <row r="8">
      <c r="A8" s="2" t="s">
        <v>37</v>
      </c>
      <c r="B8" s="3">
        <v>45639.0</v>
      </c>
      <c r="C8" s="2" t="s">
        <v>20</v>
      </c>
      <c r="D8" s="2" t="s">
        <v>21</v>
      </c>
      <c r="E8" s="2" t="s">
        <v>22</v>
      </c>
      <c r="F8" s="2" t="s">
        <v>38</v>
      </c>
      <c r="H8" s="2" t="s">
        <v>24</v>
      </c>
      <c r="I8" s="2">
        <v>3.090083</v>
      </c>
      <c r="J8" s="2">
        <v>72.967917</v>
      </c>
      <c r="K8" s="2">
        <v>10.7</v>
      </c>
      <c r="L8" s="2" t="s">
        <v>25</v>
      </c>
      <c r="M8" s="2" t="s">
        <v>26</v>
      </c>
      <c r="N8" s="2">
        <v>0.0</v>
      </c>
      <c r="O8" s="2">
        <v>0.0</v>
      </c>
      <c r="P8" s="2">
        <v>0.0</v>
      </c>
      <c r="Q8" s="2">
        <v>0.0</v>
      </c>
      <c r="R8" s="4">
        <f t="shared" si="1"/>
        <v>0</v>
      </c>
      <c r="S8" s="4">
        <f t="shared" si="2"/>
        <v>0</v>
      </c>
    </row>
    <row r="9">
      <c r="A9" s="2" t="s">
        <v>39</v>
      </c>
      <c r="B9" s="3">
        <v>45639.0</v>
      </c>
      <c r="C9" s="2" t="s">
        <v>20</v>
      </c>
      <c r="D9" s="2" t="s">
        <v>21</v>
      </c>
      <c r="E9" s="2" t="s">
        <v>22</v>
      </c>
      <c r="F9" s="2" t="s">
        <v>40</v>
      </c>
      <c r="H9" s="2" t="s">
        <v>24</v>
      </c>
      <c r="I9" s="2">
        <v>3.090083</v>
      </c>
      <c r="J9" s="2">
        <v>72.967917</v>
      </c>
      <c r="K9" s="2">
        <v>10.9</v>
      </c>
      <c r="L9" s="2" t="s">
        <v>25</v>
      </c>
      <c r="M9" s="2" t="s">
        <v>26</v>
      </c>
      <c r="N9" s="2">
        <v>0.0</v>
      </c>
      <c r="O9" s="2">
        <v>0.0</v>
      </c>
      <c r="P9" s="2">
        <v>0.0</v>
      </c>
      <c r="Q9" s="2">
        <v>0.0</v>
      </c>
      <c r="R9" s="4">
        <f t="shared" si="1"/>
        <v>0</v>
      </c>
      <c r="S9" s="4">
        <f t="shared" si="2"/>
        <v>0</v>
      </c>
    </row>
    <row r="10">
      <c r="A10" s="2" t="s">
        <v>41</v>
      </c>
      <c r="B10" s="3">
        <v>45639.0</v>
      </c>
      <c r="C10" s="2" t="s">
        <v>20</v>
      </c>
      <c r="D10" s="2" t="s">
        <v>21</v>
      </c>
      <c r="E10" s="2" t="s">
        <v>22</v>
      </c>
      <c r="F10" s="2" t="s">
        <v>42</v>
      </c>
      <c r="H10" s="2" t="s">
        <v>24</v>
      </c>
      <c r="I10" s="2">
        <v>3.090083</v>
      </c>
      <c r="J10" s="2">
        <v>72.967917</v>
      </c>
      <c r="K10" s="2">
        <v>10.7</v>
      </c>
      <c r="L10" s="2" t="s">
        <v>25</v>
      </c>
      <c r="M10" s="2" t="s">
        <v>26</v>
      </c>
      <c r="N10" s="2">
        <v>1.0</v>
      </c>
      <c r="O10" s="2">
        <v>0.0</v>
      </c>
      <c r="P10" s="2">
        <v>1.0</v>
      </c>
      <c r="Q10" s="2">
        <v>0.0</v>
      </c>
      <c r="R10" s="4">
        <f t="shared" si="1"/>
        <v>1</v>
      </c>
      <c r="S10" s="4">
        <f t="shared" si="2"/>
        <v>1</v>
      </c>
    </row>
    <row r="11">
      <c r="A11" s="2" t="s">
        <v>43</v>
      </c>
      <c r="B11" s="3">
        <v>45639.0</v>
      </c>
      <c r="C11" s="2" t="s">
        <v>20</v>
      </c>
      <c r="D11" s="2" t="s">
        <v>21</v>
      </c>
      <c r="E11" s="2" t="s">
        <v>22</v>
      </c>
      <c r="F11" s="2" t="s">
        <v>44</v>
      </c>
      <c r="H11" s="2" t="s">
        <v>24</v>
      </c>
      <c r="I11" s="2">
        <v>3.090083</v>
      </c>
      <c r="J11" s="2">
        <v>72.967917</v>
      </c>
      <c r="K11" s="2">
        <v>10.1</v>
      </c>
      <c r="L11" s="2" t="s">
        <v>25</v>
      </c>
      <c r="M11" s="2" t="s">
        <v>26</v>
      </c>
      <c r="N11" s="2">
        <v>2.0</v>
      </c>
      <c r="O11" s="2">
        <v>1.0</v>
      </c>
      <c r="P11" s="2">
        <v>0.0</v>
      </c>
      <c r="Q11" s="2">
        <v>1.0</v>
      </c>
      <c r="R11" s="4">
        <f t="shared" si="1"/>
        <v>3</v>
      </c>
      <c r="S11" s="4">
        <f t="shared" si="2"/>
        <v>4</v>
      </c>
    </row>
    <row r="12">
      <c r="A12" s="2" t="s">
        <v>45</v>
      </c>
      <c r="B12" s="3">
        <v>45639.0</v>
      </c>
      <c r="C12" s="2" t="s">
        <v>20</v>
      </c>
      <c r="D12" s="2" t="s">
        <v>21</v>
      </c>
      <c r="E12" s="2" t="s">
        <v>22</v>
      </c>
      <c r="F12" s="2" t="s">
        <v>46</v>
      </c>
      <c r="H12" s="2" t="s">
        <v>24</v>
      </c>
      <c r="I12" s="2">
        <v>3.090083</v>
      </c>
      <c r="J12" s="2">
        <v>72.967917</v>
      </c>
      <c r="K12" s="2">
        <v>10.6</v>
      </c>
      <c r="L12" s="2" t="s">
        <v>25</v>
      </c>
      <c r="M12" s="2" t="s">
        <v>26</v>
      </c>
      <c r="N12" s="2">
        <v>0.0</v>
      </c>
      <c r="O12" s="2">
        <v>0.0</v>
      </c>
      <c r="P12" s="2">
        <v>0.0</v>
      </c>
      <c r="Q12" s="2">
        <v>0.0</v>
      </c>
      <c r="R12" s="4">
        <f t="shared" si="1"/>
        <v>0</v>
      </c>
      <c r="S12" s="4">
        <f t="shared" si="2"/>
        <v>0</v>
      </c>
    </row>
    <row r="13">
      <c r="A13" s="2" t="s">
        <v>47</v>
      </c>
      <c r="B13" s="3">
        <v>45639.0</v>
      </c>
      <c r="C13" s="2" t="s">
        <v>20</v>
      </c>
      <c r="D13" s="2" t="s">
        <v>21</v>
      </c>
      <c r="E13" s="2" t="s">
        <v>22</v>
      </c>
      <c r="F13" s="2" t="s">
        <v>23</v>
      </c>
      <c r="H13" s="2" t="s">
        <v>24</v>
      </c>
      <c r="I13" s="2">
        <v>3.090083</v>
      </c>
      <c r="J13" s="2">
        <v>72.967917</v>
      </c>
      <c r="K13" s="2">
        <v>4.3</v>
      </c>
      <c r="L13" s="2" t="s">
        <v>48</v>
      </c>
      <c r="M13" s="2" t="s">
        <v>49</v>
      </c>
      <c r="N13" s="2">
        <v>0.0</v>
      </c>
      <c r="O13" s="2">
        <v>2.0</v>
      </c>
      <c r="P13" s="2">
        <v>0.0</v>
      </c>
      <c r="Q13" s="2">
        <v>1.0</v>
      </c>
      <c r="R13" s="4">
        <f t="shared" si="1"/>
        <v>2</v>
      </c>
      <c r="S13" s="4">
        <f t="shared" si="2"/>
        <v>3</v>
      </c>
    </row>
    <row r="14">
      <c r="A14" s="5" t="s">
        <v>50</v>
      </c>
      <c r="B14" s="3">
        <v>45639.0</v>
      </c>
      <c r="C14" s="2" t="s">
        <v>20</v>
      </c>
      <c r="D14" s="2" t="s">
        <v>21</v>
      </c>
      <c r="E14" s="2" t="s">
        <v>22</v>
      </c>
      <c r="F14" s="2" t="s">
        <v>28</v>
      </c>
      <c r="H14" s="2" t="s">
        <v>24</v>
      </c>
      <c r="I14" s="2">
        <v>3.090083</v>
      </c>
      <c r="J14" s="2">
        <v>72.967917</v>
      </c>
      <c r="K14" s="2">
        <v>3.6</v>
      </c>
      <c r="L14" s="2" t="s">
        <v>48</v>
      </c>
      <c r="M14" s="2" t="s">
        <v>49</v>
      </c>
      <c r="N14" s="2">
        <v>2.0</v>
      </c>
      <c r="O14" s="2">
        <v>2.0</v>
      </c>
      <c r="P14" s="2">
        <v>0.0</v>
      </c>
      <c r="Q14" s="2">
        <v>8.0</v>
      </c>
      <c r="R14" s="4">
        <f t="shared" si="1"/>
        <v>4</v>
      </c>
      <c r="S14" s="4">
        <f t="shared" si="2"/>
        <v>12</v>
      </c>
    </row>
    <row r="15">
      <c r="A15" s="6" t="s">
        <v>51</v>
      </c>
      <c r="B15" s="3">
        <v>45639.0</v>
      </c>
      <c r="C15" s="2" t="s">
        <v>20</v>
      </c>
      <c r="D15" s="2" t="s">
        <v>21</v>
      </c>
      <c r="E15" s="2" t="s">
        <v>22</v>
      </c>
      <c r="F15" s="2" t="s">
        <v>30</v>
      </c>
      <c r="H15" s="2" t="s">
        <v>24</v>
      </c>
      <c r="I15" s="2">
        <v>3.090083</v>
      </c>
      <c r="J15" s="2">
        <v>72.967917</v>
      </c>
      <c r="K15" s="2">
        <v>4.3</v>
      </c>
      <c r="L15" s="2" t="s">
        <v>48</v>
      </c>
      <c r="M15" s="2" t="s">
        <v>49</v>
      </c>
      <c r="N15" s="2">
        <v>1.0</v>
      </c>
      <c r="O15" s="2">
        <v>1.0</v>
      </c>
      <c r="P15" s="2">
        <v>0.0</v>
      </c>
      <c r="Q15" s="2">
        <v>0.0</v>
      </c>
      <c r="R15" s="4">
        <f t="shared" si="1"/>
        <v>2</v>
      </c>
      <c r="S15" s="4">
        <f t="shared" si="2"/>
        <v>2</v>
      </c>
    </row>
    <row r="16">
      <c r="A16" s="2" t="s">
        <v>52</v>
      </c>
      <c r="B16" s="3">
        <v>45639.0</v>
      </c>
      <c r="C16" s="2" t="s">
        <v>20</v>
      </c>
      <c r="D16" s="2" t="s">
        <v>21</v>
      </c>
      <c r="E16" s="2" t="s">
        <v>22</v>
      </c>
      <c r="F16" s="2" t="s">
        <v>32</v>
      </c>
      <c r="H16" s="2" t="s">
        <v>24</v>
      </c>
      <c r="I16" s="2">
        <v>3.090083</v>
      </c>
      <c r="J16" s="2">
        <v>72.967917</v>
      </c>
      <c r="K16" s="2">
        <v>4.3</v>
      </c>
      <c r="L16" s="2" t="s">
        <v>48</v>
      </c>
      <c r="M16" s="2" t="s">
        <v>49</v>
      </c>
      <c r="N16" s="2">
        <v>2.0</v>
      </c>
      <c r="O16" s="2">
        <v>5.0</v>
      </c>
      <c r="P16" s="2">
        <v>0.0</v>
      </c>
      <c r="Q16" s="2">
        <v>0.0</v>
      </c>
      <c r="R16" s="4">
        <f t="shared" si="1"/>
        <v>7</v>
      </c>
      <c r="S16" s="4">
        <f t="shared" si="2"/>
        <v>7</v>
      </c>
    </row>
    <row r="17">
      <c r="A17" s="2" t="s">
        <v>53</v>
      </c>
      <c r="B17" s="3">
        <v>45639.0</v>
      </c>
      <c r="C17" s="2" t="s">
        <v>20</v>
      </c>
      <c r="D17" s="2" t="s">
        <v>21</v>
      </c>
      <c r="E17" s="2" t="s">
        <v>22</v>
      </c>
      <c r="F17" s="2" t="s">
        <v>34</v>
      </c>
      <c r="H17" s="2" t="s">
        <v>24</v>
      </c>
      <c r="I17" s="2">
        <v>3.090083</v>
      </c>
      <c r="J17" s="2">
        <v>72.967917</v>
      </c>
      <c r="K17" s="2">
        <v>4.3</v>
      </c>
      <c r="L17" s="2" t="s">
        <v>48</v>
      </c>
      <c r="M17" s="2" t="s">
        <v>49</v>
      </c>
      <c r="N17" s="2">
        <v>0.0</v>
      </c>
      <c r="O17" s="2">
        <v>6.0</v>
      </c>
      <c r="P17" s="2">
        <v>0.0</v>
      </c>
      <c r="Q17" s="2">
        <v>2.0</v>
      </c>
      <c r="R17" s="4">
        <f t="shared" si="1"/>
        <v>6</v>
      </c>
      <c r="S17" s="4">
        <f t="shared" si="2"/>
        <v>8</v>
      </c>
    </row>
    <row r="18">
      <c r="A18" s="2" t="s">
        <v>54</v>
      </c>
      <c r="B18" s="3">
        <v>45639.0</v>
      </c>
      <c r="C18" s="2" t="s">
        <v>20</v>
      </c>
      <c r="D18" s="2" t="s">
        <v>21</v>
      </c>
      <c r="E18" s="2" t="s">
        <v>22</v>
      </c>
      <c r="F18" s="2" t="s">
        <v>36</v>
      </c>
      <c r="H18" s="2" t="s">
        <v>24</v>
      </c>
      <c r="I18" s="2">
        <v>3.090083</v>
      </c>
      <c r="J18" s="2">
        <v>72.967917</v>
      </c>
      <c r="K18" s="2">
        <v>4.3</v>
      </c>
      <c r="L18" s="2" t="s">
        <v>48</v>
      </c>
      <c r="M18" s="2" t="s">
        <v>49</v>
      </c>
      <c r="N18" s="2">
        <v>3.0</v>
      </c>
      <c r="O18" s="2">
        <v>0.0</v>
      </c>
      <c r="P18" s="2">
        <v>0.0</v>
      </c>
      <c r="Q18" s="2">
        <v>4.0</v>
      </c>
      <c r="R18" s="4">
        <f t="shared" si="1"/>
        <v>3</v>
      </c>
      <c r="S18" s="4">
        <f t="shared" si="2"/>
        <v>7</v>
      </c>
    </row>
    <row r="19">
      <c r="A19" s="2" t="s">
        <v>55</v>
      </c>
      <c r="B19" s="3">
        <v>45639.0</v>
      </c>
      <c r="C19" s="2" t="s">
        <v>20</v>
      </c>
      <c r="D19" s="2" t="s">
        <v>21</v>
      </c>
      <c r="E19" s="2" t="s">
        <v>22</v>
      </c>
      <c r="F19" s="2" t="s">
        <v>38</v>
      </c>
      <c r="H19" s="2" t="s">
        <v>24</v>
      </c>
      <c r="I19" s="2">
        <v>3.090083</v>
      </c>
      <c r="J19" s="2">
        <v>72.967917</v>
      </c>
      <c r="K19" s="2">
        <v>4.2</v>
      </c>
      <c r="L19" s="2" t="s">
        <v>48</v>
      </c>
      <c r="M19" s="2" t="s">
        <v>49</v>
      </c>
      <c r="N19" s="2">
        <v>2.0</v>
      </c>
      <c r="O19" s="2">
        <v>3.0</v>
      </c>
      <c r="P19" s="2">
        <v>0.0</v>
      </c>
      <c r="Q19" s="2">
        <v>2.0</v>
      </c>
      <c r="R19" s="4">
        <f t="shared" si="1"/>
        <v>5</v>
      </c>
      <c r="S19" s="4">
        <f t="shared" si="2"/>
        <v>7</v>
      </c>
    </row>
    <row r="20">
      <c r="A20" s="2" t="s">
        <v>56</v>
      </c>
      <c r="B20" s="3">
        <v>45639.0</v>
      </c>
      <c r="C20" s="2" t="s">
        <v>20</v>
      </c>
      <c r="D20" s="2" t="s">
        <v>21</v>
      </c>
      <c r="E20" s="2" t="s">
        <v>22</v>
      </c>
      <c r="F20" s="2" t="s">
        <v>40</v>
      </c>
      <c r="H20" s="2" t="s">
        <v>24</v>
      </c>
      <c r="I20" s="2">
        <v>3.090083</v>
      </c>
      <c r="J20" s="2">
        <v>72.967917</v>
      </c>
      <c r="K20" s="2">
        <v>3.3</v>
      </c>
      <c r="L20" s="2" t="s">
        <v>48</v>
      </c>
      <c r="M20" s="2" t="s">
        <v>49</v>
      </c>
      <c r="N20" s="2">
        <v>2.0</v>
      </c>
      <c r="O20" s="2">
        <v>3.0</v>
      </c>
      <c r="P20" s="2">
        <v>0.0</v>
      </c>
      <c r="Q20" s="2">
        <v>0.0</v>
      </c>
      <c r="R20" s="4">
        <f t="shared" si="1"/>
        <v>5</v>
      </c>
      <c r="S20" s="4">
        <f t="shared" si="2"/>
        <v>5</v>
      </c>
    </row>
    <row r="21">
      <c r="A21" s="2" t="s">
        <v>57</v>
      </c>
      <c r="B21" s="3">
        <v>45639.0</v>
      </c>
      <c r="C21" s="2" t="s">
        <v>20</v>
      </c>
      <c r="D21" s="2" t="s">
        <v>21</v>
      </c>
      <c r="E21" s="2" t="s">
        <v>22</v>
      </c>
      <c r="F21" s="2" t="s">
        <v>42</v>
      </c>
      <c r="H21" s="2" t="s">
        <v>24</v>
      </c>
      <c r="I21" s="2">
        <v>3.090083</v>
      </c>
      <c r="J21" s="2">
        <v>72.967917</v>
      </c>
      <c r="K21" s="2">
        <v>4.2</v>
      </c>
      <c r="L21" s="2" t="s">
        <v>48</v>
      </c>
      <c r="M21" s="2" t="s">
        <v>49</v>
      </c>
      <c r="N21" s="2">
        <v>2.0</v>
      </c>
      <c r="O21" s="2">
        <v>1.0</v>
      </c>
      <c r="P21" s="2">
        <v>0.0</v>
      </c>
      <c r="Q21" s="2">
        <v>1.0</v>
      </c>
      <c r="R21" s="4">
        <f t="shared" si="1"/>
        <v>3</v>
      </c>
      <c r="S21" s="4">
        <f t="shared" si="2"/>
        <v>4</v>
      </c>
    </row>
    <row r="22">
      <c r="A22" s="2" t="s">
        <v>58</v>
      </c>
      <c r="B22" s="3">
        <v>45639.0</v>
      </c>
      <c r="C22" s="2" t="s">
        <v>20</v>
      </c>
      <c r="D22" s="2" t="s">
        <v>21</v>
      </c>
      <c r="E22" s="2" t="s">
        <v>22</v>
      </c>
      <c r="F22" s="2" t="s">
        <v>44</v>
      </c>
      <c r="H22" s="2" t="s">
        <v>24</v>
      </c>
      <c r="I22" s="2">
        <v>3.090083</v>
      </c>
      <c r="J22" s="2">
        <v>72.967917</v>
      </c>
      <c r="K22" s="2">
        <v>4.2</v>
      </c>
      <c r="L22" s="2" t="s">
        <v>48</v>
      </c>
      <c r="M22" s="2" t="s">
        <v>49</v>
      </c>
      <c r="N22" s="2">
        <v>1.0</v>
      </c>
      <c r="O22" s="2">
        <v>1.0</v>
      </c>
      <c r="P22" s="2">
        <v>0.0</v>
      </c>
      <c r="Q22" s="2">
        <v>4.0</v>
      </c>
      <c r="R22" s="4">
        <f t="shared" si="1"/>
        <v>2</v>
      </c>
      <c r="S22" s="4">
        <f t="shared" si="2"/>
        <v>6</v>
      </c>
    </row>
    <row r="23">
      <c r="A23" s="2" t="s">
        <v>59</v>
      </c>
      <c r="B23" s="3">
        <v>45639.0</v>
      </c>
      <c r="C23" s="2" t="s">
        <v>20</v>
      </c>
      <c r="D23" s="2" t="s">
        <v>21</v>
      </c>
      <c r="E23" s="2" t="s">
        <v>22</v>
      </c>
      <c r="F23" s="2" t="s">
        <v>46</v>
      </c>
      <c r="H23" s="2" t="s">
        <v>24</v>
      </c>
      <c r="I23" s="2">
        <v>3.090083</v>
      </c>
      <c r="J23" s="2">
        <v>72.967917</v>
      </c>
      <c r="K23" s="2">
        <v>4.2</v>
      </c>
      <c r="L23" s="2" t="s">
        <v>48</v>
      </c>
      <c r="M23" s="2" t="s">
        <v>49</v>
      </c>
      <c r="N23" s="2">
        <v>1.0</v>
      </c>
      <c r="O23" s="2">
        <v>3.0</v>
      </c>
      <c r="P23" s="2">
        <v>0.0</v>
      </c>
      <c r="Q23" s="2">
        <v>0.0</v>
      </c>
      <c r="R23" s="4">
        <f t="shared" si="1"/>
        <v>4</v>
      </c>
      <c r="S23" s="4">
        <f t="shared" si="2"/>
        <v>4</v>
      </c>
    </row>
    <row r="24">
      <c r="A24" s="7" t="s">
        <v>60</v>
      </c>
      <c r="B24" s="3">
        <v>45639.0</v>
      </c>
      <c r="C24" s="2" t="s">
        <v>20</v>
      </c>
      <c r="D24" s="2" t="s">
        <v>21</v>
      </c>
      <c r="E24" s="2" t="s">
        <v>61</v>
      </c>
      <c r="F24" s="2" t="s">
        <v>23</v>
      </c>
      <c r="H24" s="2" t="s">
        <v>24</v>
      </c>
      <c r="I24" s="2">
        <v>3.090083</v>
      </c>
      <c r="J24" s="2">
        <v>72.967917</v>
      </c>
      <c r="K24" s="2">
        <v>3.8</v>
      </c>
      <c r="M24" s="2" t="s">
        <v>62</v>
      </c>
      <c r="N24" s="2">
        <v>0.0</v>
      </c>
      <c r="O24" s="2">
        <v>0.0</v>
      </c>
      <c r="P24" s="2">
        <v>0.0</v>
      </c>
      <c r="Q24" s="2">
        <v>3.0</v>
      </c>
      <c r="R24" s="4">
        <f t="shared" si="1"/>
        <v>0</v>
      </c>
      <c r="S24" s="4">
        <f t="shared" si="2"/>
        <v>3</v>
      </c>
    </row>
    <row r="25">
      <c r="A25" s="7" t="s">
        <v>63</v>
      </c>
      <c r="B25" s="3">
        <v>45639.0</v>
      </c>
      <c r="C25" s="2" t="s">
        <v>20</v>
      </c>
      <c r="D25" s="2" t="s">
        <v>21</v>
      </c>
      <c r="E25" s="2" t="s">
        <v>61</v>
      </c>
      <c r="F25" s="2" t="s">
        <v>28</v>
      </c>
      <c r="H25" s="2" t="s">
        <v>24</v>
      </c>
      <c r="I25" s="2">
        <v>3.090083</v>
      </c>
      <c r="J25" s="2">
        <v>72.967917</v>
      </c>
      <c r="K25" s="2">
        <v>3.8</v>
      </c>
      <c r="M25" s="2" t="s">
        <v>62</v>
      </c>
      <c r="N25" s="2">
        <v>0.0</v>
      </c>
      <c r="O25" s="2">
        <v>1.0</v>
      </c>
      <c r="P25" s="2">
        <v>0.0</v>
      </c>
      <c r="Q25" s="2">
        <v>1.0</v>
      </c>
      <c r="R25" s="4">
        <f t="shared" si="1"/>
        <v>1</v>
      </c>
      <c r="S25" s="4">
        <f t="shared" si="2"/>
        <v>2</v>
      </c>
    </row>
    <row r="26">
      <c r="A26" s="7" t="s">
        <v>64</v>
      </c>
      <c r="B26" s="3">
        <v>45639.0</v>
      </c>
      <c r="C26" s="2" t="s">
        <v>20</v>
      </c>
      <c r="D26" s="2" t="s">
        <v>21</v>
      </c>
      <c r="E26" s="2" t="s">
        <v>61</v>
      </c>
      <c r="F26" s="2" t="s">
        <v>30</v>
      </c>
      <c r="H26" s="2" t="s">
        <v>24</v>
      </c>
      <c r="I26" s="2">
        <v>3.090083</v>
      </c>
      <c r="J26" s="2">
        <v>72.967917</v>
      </c>
      <c r="K26" s="2">
        <v>4.0</v>
      </c>
      <c r="M26" s="2" t="s">
        <v>62</v>
      </c>
      <c r="N26" s="2">
        <v>0.0</v>
      </c>
      <c r="O26" s="2">
        <v>2.0</v>
      </c>
      <c r="P26" s="2">
        <v>0.0</v>
      </c>
      <c r="Q26" s="2">
        <v>3.0</v>
      </c>
      <c r="R26" s="4">
        <f t="shared" si="1"/>
        <v>2</v>
      </c>
      <c r="S26" s="4">
        <f t="shared" si="2"/>
        <v>5</v>
      </c>
    </row>
    <row r="27">
      <c r="A27" s="7" t="s">
        <v>65</v>
      </c>
      <c r="B27" s="3">
        <v>45639.0</v>
      </c>
      <c r="C27" s="2" t="s">
        <v>20</v>
      </c>
      <c r="D27" s="2" t="s">
        <v>21</v>
      </c>
      <c r="E27" s="2" t="s">
        <v>61</v>
      </c>
      <c r="F27" s="2" t="s">
        <v>32</v>
      </c>
      <c r="H27" s="2" t="s">
        <v>24</v>
      </c>
      <c r="I27" s="2">
        <v>3.090083</v>
      </c>
      <c r="J27" s="2">
        <v>72.967917</v>
      </c>
      <c r="K27" s="2">
        <v>3.4</v>
      </c>
      <c r="M27" s="2" t="s">
        <v>62</v>
      </c>
      <c r="N27" s="2">
        <v>0.0</v>
      </c>
      <c r="O27" s="2">
        <v>2.0</v>
      </c>
      <c r="P27" s="2">
        <v>0.0</v>
      </c>
      <c r="Q27" s="2">
        <v>1.0</v>
      </c>
      <c r="R27" s="4">
        <f t="shared" si="1"/>
        <v>2</v>
      </c>
      <c r="S27" s="4">
        <f t="shared" si="2"/>
        <v>3</v>
      </c>
    </row>
    <row r="28">
      <c r="A28" s="7" t="s">
        <v>66</v>
      </c>
      <c r="B28" s="3">
        <v>45639.0</v>
      </c>
      <c r="C28" s="2" t="s">
        <v>20</v>
      </c>
      <c r="D28" s="2" t="s">
        <v>21</v>
      </c>
      <c r="E28" s="2" t="s">
        <v>61</v>
      </c>
      <c r="F28" s="2" t="s">
        <v>34</v>
      </c>
      <c r="H28" s="2" t="s">
        <v>24</v>
      </c>
      <c r="I28" s="2">
        <v>3.090083</v>
      </c>
      <c r="J28" s="2">
        <v>72.967917</v>
      </c>
      <c r="K28" s="2">
        <v>4.0</v>
      </c>
      <c r="M28" s="2" t="s">
        <v>62</v>
      </c>
      <c r="N28" s="2">
        <v>0.0</v>
      </c>
      <c r="O28" s="2">
        <v>0.0</v>
      </c>
      <c r="P28" s="2">
        <v>0.0</v>
      </c>
      <c r="Q28" s="2">
        <v>0.0</v>
      </c>
      <c r="R28" s="4">
        <f t="shared" si="1"/>
        <v>0</v>
      </c>
      <c r="S28" s="4">
        <f t="shared" si="2"/>
        <v>0</v>
      </c>
    </row>
    <row r="29">
      <c r="A29" s="7" t="s">
        <v>67</v>
      </c>
      <c r="B29" s="3">
        <v>45639.0</v>
      </c>
      <c r="C29" s="2" t="s">
        <v>20</v>
      </c>
      <c r="D29" s="2" t="s">
        <v>21</v>
      </c>
      <c r="E29" s="2" t="s">
        <v>61</v>
      </c>
      <c r="F29" s="2" t="s">
        <v>36</v>
      </c>
      <c r="H29" s="2" t="s">
        <v>24</v>
      </c>
      <c r="I29" s="2">
        <v>3.090083</v>
      </c>
      <c r="J29" s="2">
        <v>72.967917</v>
      </c>
      <c r="K29" s="2">
        <v>3.9</v>
      </c>
      <c r="M29" s="2" t="s">
        <v>62</v>
      </c>
      <c r="N29" s="2">
        <v>0.0</v>
      </c>
      <c r="O29" s="2">
        <v>1.0</v>
      </c>
      <c r="P29" s="2">
        <v>0.0</v>
      </c>
      <c r="Q29" s="2">
        <v>0.0</v>
      </c>
      <c r="R29" s="4">
        <f t="shared" si="1"/>
        <v>1</v>
      </c>
      <c r="S29" s="4">
        <f t="shared" si="2"/>
        <v>1</v>
      </c>
    </row>
    <row r="30">
      <c r="A30" s="7" t="s">
        <v>68</v>
      </c>
      <c r="B30" s="3">
        <v>45639.0</v>
      </c>
      <c r="C30" s="2" t="s">
        <v>20</v>
      </c>
      <c r="D30" s="2" t="s">
        <v>21</v>
      </c>
      <c r="E30" s="2" t="s">
        <v>61</v>
      </c>
      <c r="F30" s="2" t="s">
        <v>38</v>
      </c>
      <c r="H30" s="2" t="s">
        <v>24</v>
      </c>
      <c r="I30" s="2">
        <v>3.090083</v>
      </c>
      <c r="J30" s="2">
        <v>72.967917</v>
      </c>
      <c r="K30" s="2">
        <v>4.5</v>
      </c>
      <c r="M30" s="2" t="s">
        <v>62</v>
      </c>
      <c r="N30" s="2">
        <v>0.0</v>
      </c>
      <c r="O30" s="2">
        <v>2.0</v>
      </c>
      <c r="P30" s="2">
        <v>0.0</v>
      </c>
      <c r="Q30" s="2">
        <v>1.0</v>
      </c>
      <c r="R30" s="4">
        <f t="shared" si="1"/>
        <v>2</v>
      </c>
      <c r="S30" s="4">
        <f t="shared" si="2"/>
        <v>3</v>
      </c>
    </row>
    <row r="31">
      <c r="A31" s="7" t="s">
        <v>69</v>
      </c>
      <c r="B31" s="3">
        <v>45639.0</v>
      </c>
      <c r="C31" s="2" t="s">
        <v>20</v>
      </c>
      <c r="D31" s="2" t="s">
        <v>21</v>
      </c>
      <c r="E31" s="2" t="s">
        <v>61</v>
      </c>
      <c r="F31" s="2" t="s">
        <v>40</v>
      </c>
      <c r="H31" s="2" t="s">
        <v>24</v>
      </c>
      <c r="I31" s="2">
        <v>3.090083</v>
      </c>
      <c r="J31" s="2">
        <v>72.967917</v>
      </c>
      <c r="K31" s="2">
        <v>5.0</v>
      </c>
      <c r="M31" s="2" t="s">
        <v>62</v>
      </c>
      <c r="N31" s="2">
        <v>1.0</v>
      </c>
      <c r="O31" s="2">
        <v>2.0</v>
      </c>
      <c r="P31" s="2">
        <v>0.0</v>
      </c>
      <c r="Q31" s="2">
        <v>0.0</v>
      </c>
      <c r="R31" s="4">
        <f t="shared" si="1"/>
        <v>3</v>
      </c>
      <c r="S31" s="4">
        <f t="shared" si="2"/>
        <v>3</v>
      </c>
    </row>
    <row r="32">
      <c r="A32" s="7" t="s">
        <v>70</v>
      </c>
      <c r="B32" s="3">
        <v>45639.0</v>
      </c>
      <c r="C32" s="2" t="s">
        <v>20</v>
      </c>
      <c r="D32" s="2" t="s">
        <v>21</v>
      </c>
      <c r="E32" s="2" t="s">
        <v>61</v>
      </c>
      <c r="F32" s="2" t="s">
        <v>42</v>
      </c>
      <c r="H32" s="2" t="s">
        <v>24</v>
      </c>
      <c r="I32" s="2">
        <v>3.090083</v>
      </c>
      <c r="J32" s="2">
        <v>72.967917</v>
      </c>
      <c r="K32" s="2">
        <v>4.6</v>
      </c>
      <c r="M32" s="2" t="s">
        <v>62</v>
      </c>
      <c r="N32" s="2">
        <v>0.0</v>
      </c>
      <c r="O32" s="2">
        <v>2.0</v>
      </c>
      <c r="P32" s="2">
        <v>0.0</v>
      </c>
      <c r="Q32" s="2">
        <v>3.0</v>
      </c>
      <c r="R32" s="4">
        <f t="shared" si="1"/>
        <v>2</v>
      </c>
      <c r="S32" s="4">
        <f t="shared" si="2"/>
        <v>5</v>
      </c>
    </row>
    <row r="33">
      <c r="A33" s="7" t="s">
        <v>71</v>
      </c>
      <c r="B33" s="3">
        <v>45639.0</v>
      </c>
      <c r="C33" s="2" t="s">
        <v>20</v>
      </c>
      <c r="D33" s="2" t="s">
        <v>21</v>
      </c>
      <c r="E33" s="2" t="s">
        <v>61</v>
      </c>
      <c r="F33" s="2" t="s">
        <v>44</v>
      </c>
      <c r="H33" s="2" t="s">
        <v>24</v>
      </c>
      <c r="I33" s="2">
        <v>3.090083</v>
      </c>
      <c r="J33" s="2">
        <v>72.967917</v>
      </c>
      <c r="K33" s="2">
        <v>4.1</v>
      </c>
      <c r="M33" s="2" t="s">
        <v>62</v>
      </c>
      <c r="N33" s="2">
        <v>0.0</v>
      </c>
      <c r="O33" s="2">
        <v>2.0</v>
      </c>
      <c r="P33" s="2">
        <v>0.0</v>
      </c>
      <c r="Q33" s="2">
        <v>0.0</v>
      </c>
      <c r="R33" s="4">
        <f t="shared" si="1"/>
        <v>2</v>
      </c>
      <c r="S33" s="4">
        <f t="shared" si="2"/>
        <v>2</v>
      </c>
    </row>
    <row r="34">
      <c r="A34" s="7" t="s">
        <v>72</v>
      </c>
      <c r="B34" s="3">
        <v>45639.0</v>
      </c>
      <c r="C34" s="2" t="s">
        <v>20</v>
      </c>
      <c r="D34" s="2" t="s">
        <v>21</v>
      </c>
      <c r="E34" s="2" t="s">
        <v>61</v>
      </c>
      <c r="F34" s="2" t="s">
        <v>46</v>
      </c>
      <c r="H34" s="2" t="s">
        <v>24</v>
      </c>
      <c r="I34" s="2">
        <v>3.090083</v>
      </c>
      <c r="J34" s="2">
        <v>72.967917</v>
      </c>
      <c r="K34" s="2">
        <v>3.9</v>
      </c>
      <c r="M34" s="2" t="s">
        <v>62</v>
      </c>
      <c r="N34" s="2">
        <v>0.0</v>
      </c>
      <c r="O34" s="2">
        <v>1.0</v>
      </c>
      <c r="P34" s="2">
        <v>0.0</v>
      </c>
      <c r="Q34" s="2">
        <v>1.0</v>
      </c>
      <c r="R34" s="4">
        <f t="shared" si="1"/>
        <v>1</v>
      </c>
      <c r="S34" s="4">
        <f t="shared" si="2"/>
        <v>2</v>
      </c>
    </row>
    <row r="35">
      <c r="A35" s="7" t="s">
        <v>73</v>
      </c>
      <c r="B35" s="3">
        <v>45639.0</v>
      </c>
      <c r="C35" s="2" t="s">
        <v>20</v>
      </c>
      <c r="D35" s="2" t="s">
        <v>21</v>
      </c>
      <c r="E35" s="2" t="s">
        <v>61</v>
      </c>
      <c r="F35" s="2" t="s">
        <v>23</v>
      </c>
      <c r="H35" s="2" t="s">
        <v>24</v>
      </c>
      <c r="I35" s="2">
        <v>3.090083</v>
      </c>
      <c r="J35" s="2">
        <v>72.967917</v>
      </c>
      <c r="K35" s="2">
        <v>10.0</v>
      </c>
      <c r="L35" s="2" t="s">
        <v>48</v>
      </c>
      <c r="M35" s="2" t="s">
        <v>74</v>
      </c>
      <c r="N35" s="2">
        <v>0.0</v>
      </c>
      <c r="O35" s="2">
        <v>0.0</v>
      </c>
      <c r="P35" s="2">
        <v>1.0</v>
      </c>
      <c r="Q35" s="2">
        <v>0.0</v>
      </c>
      <c r="R35" s="4">
        <f t="shared" si="1"/>
        <v>0</v>
      </c>
      <c r="S35" s="4">
        <f t="shared" si="2"/>
        <v>0</v>
      </c>
    </row>
    <row r="36">
      <c r="A36" s="7" t="s">
        <v>75</v>
      </c>
      <c r="B36" s="3">
        <v>45639.0</v>
      </c>
      <c r="C36" s="2" t="s">
        <v>20</v>
      </c>
      <c r="D36" s="2" t="s">
        <v>21</v>
      </c>
      <c r="E36" s="2" t="s">
        <v>61</v>
      </c>
      <c r="F36" s="2" t="s">
        <v>28</v>
      </c>
      <c r="H36" s="2" t="s">
        <v>24</v>
      </c>
      <c r="I36" s="2">
        <v>3.090083</v>
      </c>
      <c r="J36" s="2">
        <v>72.967917</v>
      </c>
      <c r="K36" s="2">
        <v>11.2</v>
      </c>
      <c r="L36" s="2" t="s">
        <v>48</v>
      </c>
      <c r="M36" s="2" t="s">
        <v>74</v>
      </c>
      <c r="N36" s="2">
        <v>0.0</v>
      </c>
      <c r="O36" s="2">
        <v>0.0</v>
      </c>
      <c r="P36" s="2">
        <v>0.0</v>
      </c>
      <c r="Q36" s="2">
        <v>0.0</v>
      </c>
      <c r="R36" s="4">
        <f t="shared" si="1"/>
        <v>0</v>
      </c>
      <c r="S36" s="4">
        <f t="shared" si="2"/>
        <v>0</v>
      </c>
    </row>
    <row r="37">
      <c r="A37" s="7" t="s">
        <v>76</v>
      </c>
      <c r="B37" s="3">
        <v>45639.0</v>
      </c>
      <c r="C37" s="2" t="s">
        <v>20</v>
      </c>
      <c r="D37" s="2" t="s">
        <v>21</v>
      </c>
      <c r="E37" s="2" t="s">
        <v>61</v>
      </c>
      <c r="F37" s="2" t="s">
        <v>30</v>
      </c>
      <c r="H37" s="2" t="s">
        <v>24</v>
      </c>
      <c r="I37" s="2">
        <v>3.090083</v>
      </c>
      <c r="J37" s="2">
        <v>72.967917</v>
      </c>
      <c r="K37" s="2">
        <v>10.6</v>
      </c>
      <c r="L37" s="2" t="s">
        <v>48</v>
      </c>
      <c r="M37" s="2" t="s">
        <v>74</v>
      </c>
      <c r="N37" s="2">
        <v>1.0</v>
      </c>
      <c r="O37" s="2">
        <v>0.0</v>
      </c>
      <c r="P37" s="2">
        <v>0.0</v>
      </c>
      <c r="Q37" s="2">
        <v>0.0</v>
      </c>
      <c r="R37" s="4">
        <f t="shared" si="1"/>
        <v>1</v>
      </c>
      <c r="S37" s="4">
        <f t="shared" si="2"/>
        <v>1</v>
      </c>
    </row>
    <row r="38">
      <c r="A38" s="7" t="s">
        <v>77</v>
      </c>
      <c r="B38" s="3">
        <v>45639.0</v>
      </c>
      <c r="C38" s="2" t="s">
        <v>20</v>
      </c>
      <c r="D38" s="2" t="s">
        <v>21</v>
      </c>
      <c r="E38" s="2" t="s">
        <v>61</v>
      </c>
      <c r="F38" s="2" t="s">
        <v>32</v>
      </c>
      <c r="H38" s="2" t="s">
        <v>24</v>
      </c>
      <c r="I38" s="2">
        <v>3.090083</v>
      </c>
      <c r="J38" s="2">
        <v>72.967917</v>
      </c>
      <c r="K38" s="2">
        <v>10.6</v>
      </c>
      <c r="L38" s="2" t="s">
        <v>48</v>
      </c>
      <c r="M38" s="2" t="s">
        <v>74</v>
      </c>
      <c r="N38" s="2">
        <v>0.0</v>
      </c>
      <c r="O38" s="2">
        <v>0.0</v>
      </c>
      <c r="P38" s="2">
        <v>0.0</v>
      </c>
      <c r="Q38" s="2">
        <v>0.0</v>
      </c>
      <c r="R38" s="4">
        <f t="shared" si="1"/>
        <v>0</v>
      </c>
      <c r="S38" s="4">
        <f t="shared" si="2"/>
        <v>0</v>
      </c>
    </row>
    <row r="39">
      <c r="A39" s="7" t="s">
        <v>78</v>
      </c>
      <c r="B39" s="3">
        <v>45639.0</v>
      </c>
      <c r="C39" s="2" t="s">
        <v>20</v>
      </c>
      <c r="D39" s="2" t="s">
        <v>21</v>
      </c>
      <c r="E39" s="2" t="s">
        <v>61</v>
      </c>
      <c r="F39" s="2" t="s">
        <v>34</v>
      </c>
      <c r="H39" s="2" t="s">
        <v>24</v>
      </c>
      <c r="I39" s="2">
        <v>3.090083</v>
      </c>
      <c r="J39" s="2">
        <v>72.967917</v>
      </c>
      <c r="K39" s="2">
        <v>10.7</v>
      </c>
      <c r="L39" s="2" t="s">
        <v>48</v>
      </c>
      <c r="M39" s="2" t="s">
        <v>74</v>
      </c>
      <c r="N39" s="2">
        <v>0.0</v>
      </c>
      <c r="O39" s="2">
        <v>0.0</v>
      </c>
      <c r="P39" s="2">
        <v>0.0</v>
      </c>
      <c r="Q39" s="2">
        <v>0.0</v>
      </c>
      <c r="R39" s="4">
        <f t="shared" si="1"/>
        <v>0</v>
      </c>
      <c r="S39" s="4">
        <f t="shared" si="2"/>
        <v>0</v>
      </c>
    </row>
    <row r="40">
      <c r="A40" s="7" t="s">
        <v>79</v>
      </c>
      <c r="B40" s="3">
        <v>45639.0</v>
      </c>
      <c r="C40" s="2" t="s">
        <v>20</v>
      </c>
      <c r="D40" s="2" t="s">
        <v>21</v>
      </c>
      <c r="E40" s="2" t="s">
        <v>61</v>
      </c>
      <c r="F40" s="2" t="s">
        <v>36</v>
      </c>
      <c r="H40" s="2" t="s">
        <v>24</v>
      </c>
      <c r="I40" s="2">
        <v>3.090083</v>
      </c>
      <c r="J40" s="2">
        <v>72.967917</v>
      </c>
      <c r="K40" s="2">
        <v>11.1</v>
      </c>
      <c r="L40" s="2" t="s">
        <v>48</v>
      </c>
      <c r="M40" s="2" t="s">
        <v>74</v>
      </c>
      <c r="N40" s="2">
        <v>0.0</v>
      </c>
      <c r="O40" s="2">
        <v>0.0</v>
      </c>
      <c r="P40" s="2">
        <v>0.0</v>
      </c>
      <c r="Q40" s="2">
        <v>0.0</v>
      </c>
      <c r="R40" s="4">
        <f t="shared" si="1"/>
        <v>0</v>
      </c>
      <c r="S40" s="4">
        <f t="shared" si="2"/>
        <v>0</v>
      </c>
    </row>
    <row r="41">
      <c r="A41" s="7" t="s">
        <v>80</v>
      </c>
      <c r="B41" s="3">
        <v>45639.0</v>
      </c>
      <c r="C41" s="2" t="s">
        <v>20</v>
      </c>
      <c r="D41" s="2" t="s">
        <v>21</v>
      </c>
      <c r="E41" s="2" t="s">
        <v>61</v>
      </c>
      <c r="F41" s="2" t="s">
        <v>38</v>
      </c>
      <c r="H41" s="2" t="s">
        <v>24</v>
      </c>
      <c r="I41" s="2">
        <v>3.090083</v>
      </c>
      <c r="J41" s="2">
        <v>72.967917</v>
      </c>
      <c r="K41" s="2">
        <v>10.6</v>
      </c>
      <c r="L41" s="2" t="s">
        <v>48</v>
      </c>
      <c r="M41" s="2" t="s">
        <v>74</v>
      </c>
      <c r="N41" s="2">
        <v>0.0</v>
      </c>
      <c r="O41" s="2">
        <v>0.0</v>
      </c>
      <c r="P41" s="2">
        <v>0.0</v>
      </c>
      <c r="Q41" s="2">
        <v>0.0</v>
      </c>
      <c r="R41" s="4">
        <f t="shared" si="1"/>
        <v>0</v>
      </c>
      <c r="S41" s="4">
        <f t="shared" si="2"/>
        <v>0</v>
      </c>
    </row>
    <row r="42">
      <c r="A42" s="7" t="s">
        <v>81</v>
      </c>
      <c r="B42" s="3">
        <v>45639.0</v>
      </c>
      <c r="C42" s="2" t="s">
        <v>20</v>
      </c>
      <c r="D42" s="2" t="s">
        <v>21</v>
      </c>
      <c r="E42" s="2" t="s">
        <v>61</v>
      </c>
      <c r="F42" s="2" t="s">
        <v>40</v>
      </c>
      <c r="H42" s="2" t="s">
        <v>24</v>
      </c>
      <c r="I42" s="2">
        <v>3.090083</v>
      </c>
      <c r="J42" s="2">
        <v>72.967917</v>
      </c>
      <c r="K42" s="2">
        <v>11.0</v>
      </c>
      <c r="L42" s="2" t="s">
        <v>48</v>
      </c>
      <c r="M42" s="2" t="s">
        <v>74</v>
      </c>
      <c r="N42" s="2">
        <v>0.0</v>
      </c>
      <c r="O42" s="2">
        <v>0.0</v>
      </c>
      <c r="P42" s="2">
        <v>0.0</v>
      </c>
      <c r="Q42" s="2">
        <v>1.0</v>
      </c>
      <c r="R42" s="4">
        <f t="shared" si="1"/>
        <v>0</v>
      </c>
      <c r="S42" s="4">
        <f t="shared" si="2"/>
        <v>1</v>
      </c>
    </row>
    <row r="43">
      <c r="A43" s="7" t="s">
        <v>82</v>
      </c>
      <c r="B43" s="3">
        <v>45639.0</v>
      </c>
      <c r="C43" s="2" t="s">
        <v>20</v>
      </c>
      <c r="D43" s="2" t="s">
        <v>21</v>
      </c>
      <c r="E43" s="2" t="s">
        <v>61</v>
      </c>
      <c r="F43" s="2" t="s">
        <v>42</v>
      </c>
      <c r="H43" s="2" t="s">
        <v>24</v>
      </c>
      <c r="I43" s="2">
        <v>3.090083</v>
      </c>
      <c r="J43" s="2">
        <v>72.967917</v>
      </c>
      <c r="K43" s="2">
        <v>11.1</v>
      </c>
      <c r="L43" s="2" t="s">
        <v>48</v>
      </c>
      <c r="M43" s="2" t="s">
        <v>74</v>
      </c>
      <c r="N43" s="2">
        <v>2.0</v>
      </c>
      <c r="O43" s="2">
        <v>3.0</v>
      </c>
      <c r="P43" s="2">
        <v>0.0</v>
      </c>
      <c r="Q43" s="2">
        <v>0.0</v>
      </c>
      <c r="R43" s="4">
        <f t="shared" si="1"/>
        <v>5</v>
      </c>
      <c r="S43" s="4">
        <f t="shared" si="2"/>
        <v>5</v>
      </c>
    </row>
    <row r="44">
      <c r="A44" s="7" t="s">
        <v>83</v>
      </c>
      <c r="B44" s="3">
        <v>45639.0</v>
      </c>
      <c r="C44" s="2" t="s">
        <v>20</v>
      </c>
      <c r="D44" s="2" t="s">
        <v>21</v>
      </c>
      <c r="E44" s="2" t="s">
        <v>61</v>
      </c>
      <c r="F44" s="2" t="s">
        <v>44</v>
      </c>
      <c r="H44" s="2" t="s">
        <v>24</v>
      </c>
      <c r="I44" s="2">
        <v>3.090083</v>
      </c>
      <c r="J44" s="2">
        <v>72.967917</v>
      </c>
      <c r="K44" s="2">
        <v>10.6</v>
      </c>
      <c r="L44" s="2" t="s">
        <v>48</v>
      </c>
      <c r="M44" s="2" t="s">
        <v>74</v>
      </c>
      <c r="N44" s="2">
        <v>0.0</v>
      </c>
      <c r="O44" s="2">
        <v>0.0</v>
      </c>
      <c r="P44" s="2">
        <v>0.0</v>
      </c>
      <c r="Q44" s="2">
        <v>0.0</v>
      </c>
      <c r="R44" s="4">
        <f t="shared" si="1"/>
        <v>0</v>
      </c>
      <c r="S44" s="4">
        <f t="shared" si="2"/>
        <v>0</v>
      </c>
    </row>
    <row r="45">
      <c r="A45" s="7" t="s">
        <v>84</v>
      </c>
      <c r="B45" s="3">
        <v>45639.0</v>
      </c>
      <c r="C45" s="2" t="s">
        <v>20</v>
      </c>
      <c r="D45" s="2" t="s">
        <v>21</v>
      </c>
      <c r="E45" s="2" t="s">
        <v>61</v>
      </c>
      <c r="F45" s="2" t="s">
        <v>46</v>
      </c>
      <c r="H45" s="2" t="s">
        <v>24</v>
      </c>
      <c r="I45" s="2">
        <v>3.090083</v>
      </c>
      <c r="J45" s="2">
        <v>72.967917</v>
      </c>
      <c r="K45" s="2">
        <v>11.3</v>
      </c>
      <c r="L45" s="2" t="s">
        <v>48</v>
      </c>
      <c r="M45" s="2" t="s">
        <v>74</v>
      </c>
      <c r="N45" s="2">
        <v>0.0</v>
      </c>
      <c r="O45" s="2">
        <v>1.0</v>
      </c>
      <c r="P45" s="2">
        <v>0.0</v>
      </c>
      <c r="Q45" s="2">
        <v>2.0</v>
      </c>
      <c r="R45" s="4">
        <f t="shared" si="1"/>
        <v>1</v>
      </c>
      <c r="S45" s="4">
        <f t="shared" si="2"/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12" max="12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</row>
    <row r="2">
      <c r="A2" s="2" t="s">
        <v>90</v>
      </c>
      <c r="B2" s="3">
        <v>45639.0</v>
      </c>
      <c r="C2" s="2" t="s">
        <v>20</v>
      </c>
      <c r="D2" s="2" t="s">
        <v>21</v>
      </c>
      <c r="E2" s="2" t="s">
        <v>22</v>
      </c>
      <c r="F2" s="2" t="s">
        <v>23</v>
      </c>
      <c r="H2" s="2" t="s">
        <v>24</v>
      </c>
      <c r="K2" s="2">
        <v>4.3</v>
      </c>
      <c r="L2" s="2" t="s">
        <v>48</v>
      </c>
      <c r="M2" s="2" t="s">
        <v>49</v>
      </c>
      <c r="N2" s="2" t="s">
        <v>24</v>
      </c>
      <c r="O2" s="2" t="s">
        <v>24</v>
      </c>
      <c r="P2" s="2" t="s">
        <v>24</v>
      </c>
      <c r="Q2" s="2" t="s">
        <v>91</v>
      </c>
      <c r="R2" s="2" t="s">
        <v>24</v>
      </c>
    </row>
    <row r="3">
      <c r="A3" s="5" t="s">
        <v>92</v>
      </c>
      <c r="B3" s="3">
        <v>45639.0</v>
      </c>
      <c r="C3" s="2" t="s">
        <v>20</v>
      </c>
      <c r="D3" s="2" t="s">
        <v>21</v>
      </c>
      <c r="E3" s="2" t="s">
        <v>22</v>
      </c>
      <c r="F3" s="2" t="s">
        <v>28</v>
      </c>
      <c r="K3" s="2" t="s">
        <v>93</v>
      </c>
      <c r="L3" s="2" t="s">
        <v>48</v>
      </c>
      <c r="M3" s="2" t="s">
        <v>49</v>
      </c>
      <c r="O3" s="2" t="s">
        <v>24</v>
      </c>
      <c r="Q3" s="2" t="s">
        <v>91</v>
      </c>
    </row>
    <row r="4">
      <c r="A4" s="6" t="s">
        <v>94</v>
      </c>
      <c r="B4" s="3">
        <v>45639.0</v>
      </c>
      <c r="C4" s="2" t="s">
        <v>20</v>
      </c>
      <c r="D4" s="2" t="s">
        <v>21</v>
      </c>
      <c r="E4" s="2" t="s">
        <v>22</v>
      </c>
      <c r="F4" s="2" t="s">
        <v>30</v>
      </c>
      <c r="K4" s="2">
        <v>4.3</v>
      </c>
      <c r="L4" s="2" t="s">
        <v>48</v>
      </c>
      <c r="M4" s="2" t="s">
        <v>49</v>
      </c>
      <c r="O4" s="2" t="s">
        <v>24</v>
      </c>
      <c r="Q4" s="2" t="s">
        <v>91</v>
      </c>
    </row>
    <row r="5">
      <c r="A5" s="2" t="s">
        <v>95</v>
      </c>
      <c r="B5" s="3">
        <v>45639.0</v>
      </c>
      <c r="C5" s="2" t="s">
        <v>20</v>
      </c>
      <c r="D5" s="2" t="s">
        <v>21</v>
      </c>
      <c r="E5" s="2" t="s">
        <v>22</v>
      </c>
      <c r="F5" s="2" t="s">
        <v>32</v>
      </c>
      <c r="K5" s="2">
        <v>4.3</v>
      </c>
      <c r="L5" s="2" t="s">
        <v>48</v>
      </c>
      <c r="M5" s="2" t="s">
        <v>49</v>
      </c>
      <c r="O5" s="2" t="s">
        <v>24</v>
      </c>
      <c r="Q5" s="2" t="s">
        <v>91</v>
      </c>
    </row>
    <row r="6">
      <c r="A6" s="2" t="s">
        <v>96</v>
      </c>
      <c r="B6" s="3">
        <v>45639.0</v>
      </c>
      <c r="C6" s="2" t="s">
        <v>20</v>
      </c>
      <c r="D6" s="2" t="s">
        <v>21</v>
      </c>
      <c r="E6" s="2" t="s">
        <v>22</v>
      </c>
      <c r="F6" s="2" t="s">
        <v>34</v>
      </c>
      <c r="K6" s="2">
        <v>4.3</v>
      </c>
      <c r="L6" s="2" t="s">
        <v>48</v>
      </c>
      <c r="M6" s="2" t="s">
        <v>49</v>
      </c>
      <c r="O6" s="2" t="s">
        <v>24</v>
      </c>
      <c r="Q6" s="2" t="s">
        <v>91</v>
      </c>
    </row>
    <row r="7">
      <c r="A7" s="2" t="s">
        <v>97</v>
      </c>
      <c r="B7" s="3">
        <v>45639.0</v>
      </c>
      <c r="C7" s="2" t="s">
        <v>20</v>
      </c>
      <c r="D7" s="2" t="s">
        <v>21</v>
      </c>
      <c r="E7" s="2" t="s">
        <v>22</v>
      </c>
      <c r="F7" s="2" t="s">
        <v>36</v>
      </c>
      <c r="K7" s="2">
        <v>4.3</v>
      </c>
      <c r="L7" s="2" t="s">
        <v>48</v>
      </c>
      <c r="M7" s="2" t="s">
        <v>49</v>
      </c>
      <c r="O7" s="2" t="s">
        <v>24</v>
      </c>
      <c r="Q7" s="2" t="s">
        <v>91</v>
      </c>
    </row>
    <row r="8">
      <c r="A8" s="2" t="s">
        <v>98</v>
      </c>
      <c r="B8" s="3">
        <v>45639.0</v>
      </c>
      <c r="C8" s="2" t="s">
        <v>20</v>
      </c>
      <c r="D8" s="2" t="s">
        <v>21</v>
      </c>
      <c r="E8" s="2" t="s">
        <v>22</v>
      </c>
      <c r="F8" s="2" t="s">
        <v>38</v>
      </c>
      <c r="K8" s="2">
        <v>4.2</v>
      </c>
      <c r="L8" s="2" t="s">
        <v>48</v>
      </c>
      <c r="M8" s="2" t="s">
        <v>49</v>
      </c>
      <c r="O8" s="2" t="s">
        <v>24</v>
      </c>
      <c r="Q8" s="2" t="s">
        <v>91</v>
      </c>
    </row>
    <row r="9">
      <c r="A9" s="2" t="s">
        <v>99</v>
      </c>
      <c r="B9" s="3">
        <v>45639.0</v>
      </c>
      <c r="C9" s="2" t="s">
        <v>20</v>
      </c>
      <c r="D9" s="2" t="s">
        <v>21</v>
      </c>
      <c r="E9" s="2" t="s">
        <v>22</v>
      </c>
      <c r="F9" s="2" t="s">
        <v>40</v>
      </c>
      <c r="K9" s="2">
        <v>3.3</v>
      </c>
      <c r="L9" s="2" t="s">
        <v>48</v>
      </c>
      <c r="M9" s="2" t="s">
        <v>49</v>
      </c>
      <c r="O9" s="2" t="s">
        <v>24</v>
      </c>
      <c r="Q9" s="2" t="s">
        <v>91</v>
      </c>
    </row>
    <row r="10">
      <c r="A10" s="2" t="s">
        <v>100</v>
      </c>
      <c r="B10" s="3">
        <v>45639.0</v>
      </c>
      <c r="C10" s="2" t="s">
        <v>20</v>
      </c>
      <c r="D10" s="2" t="s">
        <v>21</v>
      </c>
      <c r="E10" s="2" t="s">
        <v>22</v>
      </c>
      <c r="F10" s="2" t="s">
        <v>42</v>
      </c>
      <c r="K10" s="2">
        <v>4.2</v>
      </c>
      <c r="L10" s="2" t="s">
        <v>48</v>
      </c>
      <c r="M10" s="2" t="s">
        <v>49</v>
      </c>
      <c r="O10" s="2" t="s">
        <v>24</v>
      </c>
      <c r="Q10" s="2" t="s">
        <v>91</v>
      </c>
    </row>
    <row r="11">
      <c r="A11" s="2" t="s">
        <v>101</v>
      </c>
      <c r="B11" s="3">
        <v>45639.0</v>
      </c>
      <c r="C11" s="2" t="s">
        <v>20</v>
      </c>
      <c r="D11" s="2" t="s">
        <v>21</v>
      </c>
      <c r="E11" s="2" t="s">
        <v>22</v>
      </c>
      <c r="F11" s="2" t="s">
        <v>44</v>
      </c>
      <c r="K11" s="2">
        <v>4.2</v>
      </c>
      <c r="L11" s="2" t="s">
        <v>48</v>
      </c>
      <c r="M11" s="2" t="s">
        <v>49</v>
      </c>
      <c r="O11" s="2" t="s">
        <v>24</v>
      </c>
      <c r="Q11" s="2" t="s">
        <v>91</v>
      </c>
    </row>
    <row r="12">
      <c r="A12" s="2" t="s">
        <v>102</v>
      </c>
      <c r="B12" s="3">
        <v>45639.0</v>
      </c>
      <c r="C12" s="2" t="s">
        <v>20</v>
      </c>
      <c r="D12" s="2" t="s">
        <v>21</v>
      </c>
      <c r="E12" s="2" t="s">
        <v>22</v>
      </c>
      <c r="F12" s="2" t="s">
        <v>46</v>
      </c>
      <c r="K12" s="2">
        <v>4.2</v>
      </c>
      <c r="L12" s="2" t="s">
        <v>48</v>
      </c>
      <c r="M12" s="2" t="s">
        <v>49</v>
      </c>
      <c r="O12" s="2" t="s">
        <v>24</v>
      </c>
      <c r="Q12" s="2" t="s">
        <v>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4" max="4" width="54.88"/>
    <col customWidth="1" min="5" max="5" width="2.0"/>
  </cols>
  <sheetData>
    <row r="1">
      <c r="A1" s="2" t="s">
        <v>0</v>
      </c>
      <c r="B1" s="2" t="s">
        <v>103</v>
      </c>
      <c r="C1" s="2" t="s">
        <v>104</v>
      </c>
    </row>
    <row r="2">
      <c r="A2" s="2" t="s">
        <v>105</v>
      </c>
      <c r="B2" s="8" t="s">
        <v>49</v>
      </c>
      <c r="C2" s="2" t="s">
        <v>106</v>
      </c>
      <c r="D2" s="2" t="s">
        <v>107</v>
      </c>
      <c r="F2" s="8" t="s">
        <v>108</v>
      </c>
    </row>
    <row r="3">
      <c r="A3" s="2" t="s">
        <v>109</v>
      </c>
      <c r="B3" s="8" t="s">
        <v>110</v>
      </c>
      <c r="C3" s="2" t="s">
        <v>106</v>
      </c>
      <c r="D3" s="2" t="s">
        <v>111</v>
      </c>
    </row>
    <row r="4">
      <c r="A4" s="2" t="s">
        <v>112</v>
      </c>
      <c r="B4" s="2" t="s">
        <v>113</v>
      </c>
      <c r="C4" s="2" t="s">
        <v>113</v>
      </c>
      <c r="D4" s="2" t="s">
        <v>114</v>
      </c>
    </row>
    <row r="5">
      <c r="A5" s="2" t="s">
        <v>115</v>
      </c>
      <c r="B5" s="8" t="s">
        <v>116</v>
      </c>
      <c r="C5" s="2" t="s">
        <v>106</v>
      </c>
      <c r="D5" s="2" t="s">
        <v>117</v>
      </c>
    </row>
    <row r="6">
      <c r="A6" s="2" t="s">
        <v>118</v>
      </c>
      <c r="B6" s="2" t="s">
        <v>119</v>
      </c>
      <c r="C6" s="2" t="s">
        <v>120</v>
      </c>
      <c r="D6" s="2" t="s">
        <v>121</v>
      </c>
    </row>
    <row r="7">
      <c r="A7" s="2" t="s">
        <v>122</v>
      </c>
      <c r="B7" s="8" t="s">
        <v>123</v>
      </c>
      <c r="C7" s="2" t="s">
        <v>106</v>
      </c>
      <c r="D7" s="2" t="s">
        <v>124</v>
      </c>
    </row>
    <row r="8">
      <c r="A8" s="2" t="s">
        <v>125</v>
      </c>
      <c r="B8" s="8" t="s">
        <v>126</v>
      </c>
      <c r="C8" s="2" t="s">
        <v>106</v>
      </c>
      <c r="D8" s="2" t="s">
        <v>127</v>
      </c>
    </row>
    <row r="9">
      <c r="A9" s="2" t="s">
        <v>128</v>
      </c>
      <c r="B9" s="8" t="s">
        <v>129</v>
      </c>
      <c r="C9" s="2" t="s">
        <v>106</v>
      </c>
    </row>
    <row r="10">
      <c r="A10" s="2" t="s">
        <v>130</v>
      </c>
      <c r="B10" s="8" t="s">
        <v>62</v>
      </c>
      <c r="C10" s="2" t="s">
        <v>106</v>
      </c>
    </row>
    <row r="11">
      <c r="A11" s="2" t="s">
        <v>131</v>
      </c>
      <c r="B11" s="8" t="s">
        <v>132</v>
      </c>
      <c r="C11" s="2" t="s">
        <v>106</v>
      </c>
    </row>
    <row r="12">
      <c r="A12" s="2" t="s">
        <v>133</v>
      </c>
      <c r="B12" s="8" t="s">
        <v>26</v>
      </c>
      <c r="C12" s="2" t="s">
        <v>106</v>
      </c>
    </row>
    <row r="13">
      <c r="A13" s="2" t="s">
        <v>134</v>
      </c>
      <c r="B13" s="2" t="s">
        <v>74</v>
      </c>
      <c r="C13" s="2" t="s">
        <v>120</v>
      </c>
    </row>
    <row r="14">
      <c r="A14" s="2" t="s">
        <v>135</v>
      </c>
      <c r="B14" s="8" t="s">
        <v>136</v>
      </c>
      <c r="C14" s="2" t="s">
        <v>106</v>
      </c>
    </row>
    <row r="15">
      <c r="A15" s="2" t="s">
        <v>137</v>
      </c>
      <c r="B15" s="8" t="s">
        <v>138</v>
      </c>
      <c r="C15" s="2" t="s">
        <v>106</v>
      </c>
    </row>
    <row r="16">
      <c r="A16" s="2" t="s">
        <v>139</v>
      </c>
      <c r="B16" s="2" t="s">
        <v>140</v>
      </c>
      <c r="C16" s="2" t="s">
        <v>120</v>
      </c>
    </row>
    <row r="17">
      <c r="A17" s="2" t="s">
        <v>141</v>
      </c>
      <c r="B17" s="2" t="s">
        <v>142</v>
      </c>
      <c r="C17" s="2" t="s">
        <v>106</v>
      </c>
    </row>
  </sheetData>
  <drawing r:id="rId1"/>
</worksheet>
</file>